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2300"/>
  </bookViews>
  <sheets>
    <sheet name="Lis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/>
  <c r="C22" i="1"/>
  <c r="C20" i="1"/>
  <c r="C19" i="1"/>
  <c r="C18" i="1"/>
  <c r="B6" i="1"/>
</calcChain>
</file>

<file path=xl/sharedStrings.xml><?xml version="1.0" encoding="utf-8"?>
<sst xmlns="http://schemas.openxmlformats.org/spreadsheetml/2006/main" count="71" uniqueCount="48">
  <si>
    <t>ROZVRH HODIN</t>
  </si>
  <si>
    <t>Legenda</t>
  </si>
  <si>
    <t>Matematika</t>
  </si>
  <si>
    <t>ctrl + w</t>
  </si>
  <si>
    <t>Český jazyk</t>
  </si>
  <si>
    <t>ctrl + m</t>
  </si>
  <si>
    <t>Anglický jazyk</t>
  </si>
  <si>
    <t>ctrl + e</t>
  </si>
  <si>
    <t>Společenské vědy</t>
  </si>
  <si>
    <t>ctrl + r</t>
  </si>
  <si>
    <t>Tělesná výchova</t>
  </si>
  <si>
    <t>ctrl + t</t>
  </si>
  <si>
    <t>Výpočetní technika</t>
  </si>
  <si>
    <t>ctrl + u</t>
  </si>
  <si>
    <t>Německý jazyk</t>
  </si>
  <si>
    <t>ctrl + i</t>
  </si>
  <si>
    <t>Přírodní vědy</t>
  </si>
  <si>
    <t>ctrl + o</t>
  </si>
  <si>
    <t>Fyzika</t>
  </si>
  <si>
    <t>ctrl + g</t>
  </si>
  <si>
    <t>Volitelný předmět</t>
  </si>
  <si>
    <t>ctrl + h</t>
  </si>
  <si>
    <t>M</t>
  </si>
  <si>
    <t>ČJ</t>
  </si>
  <si>
    <t>AJ</t>
  </si>
  <si>
    <t>NJ</t>
  </si>
  <si>
    <t>PV</t>
  </si>
  <si>
    <t>SV</t>
  </si>
  <si>
    <t>TV</t>
  </si>
  <si>
    <t>VT</t>
  </si>
  <si>
    <t>FY</t>
  </si>
  <si>
    <t>VoP</t>
  </si>
  <si>
    <t>Úterý</t>
  </si>
  <si>
    <t>Čtvrtek</t>
  </si>
  <si>
    <t>Pondělí</t>
  </si>
  <si>
    <t>Středa</t>
  </si>
  <si>
    <t>Pátek</t>
  </si>
  <si>
    <t>1.</t>
  </si>
  <si>
    <t>2.</t>
  </si>
  <si>
    <t>3.</t>
  </si>
  <si>
    <t>4.</t>
  </si>
  <si>
    <t>5.</t>
  </si>
  <si>
    <t>Statistický přehled vybraných předmětů</t>
  </si>
  <si>
    <t>Týdenní počet hodin VT</t>
  </si>
  <si>
    <t>Týdenní počet hodin M</t>
  </si>
  <si>
    <t>Týdenní počet hodin TV</t>
  </si>
  <si>
    <t>Týdenní počet hodin AJ</t>
  </si>
  <si>
    <t>Týdenní počet hodin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</si>
</sst>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8" x14ac:knownFonts="1"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4"/>
      <name val="Calibri"/>
      <family val="2"/>
      <charset val="238"/>
      <scheme val="minor"/>
    </font>
    <font>
      <sz val="11"/>
      <color theme="1"/>
      <name val="Segoe UI"/>
      <family val="2"/>
      <charset val="238"/>
    </font>
    <font>
      <sz val="28"/>
      <color theme="1"/>
      <name val="Segoe U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14" fontId="6" fillId="11" borderId="1" xfId="0" applyNumberFormat="1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14" fontId="6" fillId="11" borderId="4" xfId="0" applyNumberFormat="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/>
    </xf>
    <xf numFmtId="164" fontId="6" fillId="11" borderId="4" xfId="0" applyNumberFormat="1" applyFont="1" applyFill="1" applyBorder="1" applyAlignment="1">
      <alignment horizontal="center" vertical="center"/>
    </xf>
    <xf numFmtId="164" fontId="6" fillId="11" borderId="22" xfId="0" applyNumberFormat="1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8" xfId="0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6" fillId="13" borderId="1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</cellXfs>
  <cellStyles count="1">
    <cellStyle name="Normální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21</xdr:row>
          <xdr:rowOff>28575</xdr:rowOff>
        </xdr:from>
        <xdr:to>
          <xdr:col>14</xdr:col>
          <xdr:colOff>552450</xdr:colOff>
          <xdr:row>21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22</xdr:row>
          <xdr:rowOff>38100</xdr:rowOff>
        </xdr:from>
        <xdr:to>
          <xdr:col>14</xdr:col>
          <xdr:colOff>533400</xdr:colOff>
          <xdr:row>22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ČJ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23</xdr:row>
          <xdr:rowOff>47625</xdr:rowOff>
        </xdr:from>
        <xdr:to>
          <xdr:col>14</xdr:col>
          <xdr:colOff>542925</xdr:colOff>
          <xdr:row>23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24</xdr:row>
          <xdr:rowOff>66675</xdr:rowOff>
        </xdr:from>
        <xdr:to>
          <xdr:col>14</xdr:col>
          <xdr:colOff>542925</xdr:colOff>
          <xdr:row>24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25</xdr:row>
          <xdr:rowOff>47625</xdr:rowOff>
        </xdr:from>
        <xdr:to>
          <xdr:col>14</xdr:col>
          <xdr:colOff>533400</xdr:colOff>
          <xdr:row>25</xdr:row>
          <xdr:rowOff>219075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26</xdr:row>
          <xdr:rowOff>38100</xdr:rowOff>
        </xdr:from>
        <xdr:to>
          <xdr:col>14</xdr:col>
          <xdr:colOff>542925</xdr:colOff>
          <xdr:row>26</xdr:row>
          <xdr:rowOff>219075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27</xdr:row>
          <xdr:rowOff>38100</xdr:rowOff>
        </xdr:from>
        <xdr:to>
          <xdr:col>14</xdr:col>
          <xdr:colOff>523875</xdr:colOff>
          <xdr:row>27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28</xdr:row>
          <xdr:rowOff>38100</xdr:rowOff>
        </xdr:from>
        <xdr:to>
          <xdr:col>14</xdr:col>
          <xdr:colOff>523875</xdr:colOff>
          <xdr:row>28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29</xdr:row>
          <xdr:rowOff>47625</xdr:rowOff>
        </xdr:from>
        <xdr:to>
          <xdr:col>14</xdr:col>
          <xdr:colOff>523875</xdr:colOff>
          <xdr:row>29</xdr:row>
          <xdr:rowOff>219075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30</xdr:row>
          <xdr:rowOff>57150</xdr:rowOff>
        </xdr:from>
        <xdr:to>
          <xdr:col>14</xdr:col>
          <xdr:colOff>533400</xdr:colOff>
          <xdr:row>30</xdr:row>
          <xdr:rowOff>209550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B3:S31"/>
  <sheetViews>
    <sheetView tabSelected="1" workbookViewId="0">
      <selection activeCell="O13" sqref="O13"/>
    </sheetView>
  </sheetViews>
  <sheetFormatPr defaultRowHeight="15" x14ac:dyDescent="0.25"/>
  <cols>
    <col min="2" max="2" width="22.140625" bestFit="1" customWidth="1"/>
    <col min="9" max="9" width="8.7109375" customWidth="1"/>
    <col min="11" max="11" width="8.5703125" customWidth="1"/>
    <col min="12" max="12" width="19" customWidth="1"/>
    <col min="13" max="14" width="9.140625" customWidth="1"/>
  </cols>
  <sheetData>
    <row r="3" spans="2:7" ht="15.75" thickBot="1" x14ac:dyDescent="0.3"/>
    <row r="4" spans="2:7" ht="15" customHeight="1" x14ac:dyDescent="0.25">
      <c r="B4" s="42">
        <v>43479</v>
      </c>
      <c r="C4" s="43" t="s">
        <v>0</v>
      </c>
      <c r="D4" s="43"/>
      <c r="E4" s="43"/>
      <c r="F4" s="43"/>
      <c r="G4" s="44"/>
    </row>
    <row r="5" spans="2:7" ht="15" customHeight="1" x14ac:dyDescent="0.25">
      <c r="B5" s="45"/>
      <c r="C5" s="46"/>
      <c r="D5" s="46"/>
      <c r="E5" s="46"/>
      <c r="F5" s="46"/>
      <c r="G5" s="47"/>
    </row>
    <row r="6" spans="2:7" ht="15" customHeight="1" x14ac:dyDescent="0.25">
      <c r="B6" s="48" t="str">
        <f>CHOOSE(WEEKDAY(B4),"Neděle","Pondělí","Úterý","Středa","Čtvrtek","Pátek","Sobota")</f>
        <v>Pondělí</v>
      </c>
      <c r="C6" s="46"/>
      <c r="D6" s="46"/>
      <c r="E6" s="46"/>
      <c r="F6" s="46"/>
      <c r="G6" s="47"/>
    </row>
    <row r="7" spans="2:7" ht="15" customHeight="1" x14ac:dyDescent="0.25">
      <c r="B7" s="49"/>
      <c r="C7" s="46"/>
      <c r="D7" s="46"/>
      <c r="E7" s="46"/>
      <c r="F7" s="46"/>
      <c r="G7" s="47"/>
    </row>
    <row r="8" spans="2:7" ht="16.5" x14ac:dyDescent="0.25">
      <c r="B8" s="50"/>
      <c r="C8" s="51" t="s">
        <v>37</v>
      </c>
      <c r="D8" s="51" t="s">
        <v>38</v>
      </c>
      <c r="E8" s="51" t="s">
        <v>39</v>
      </c>
      <c r="F8" s="51" t="s">
        <v>40</v>
      </c>
      <c r="G8" s="52" t="s">
        <v>41</v>
      </c>
    </row>
    <row r="9" spans="2:7" ht="18.75" x14ac:dyDescent="0.25">
      <c r="B9" s="53" t="s">
        <v>34</v>
      </c>
      <c r="C9" s="18" t="s">
        <v>22</v>
      </c>
      <c r="D9" s="19" t="s">
        <v>23</v>
      </c>
      <c r="E9" s="20" t="s">
        <v>24</v>
      </c>
      <c r="F9" s="21" t="s">
        <v>27</v>
      </c>
      <c r="G9" s="22" t="s">
        <v>28</v>
      </c>
    </row>
    <row r="10" spans="2:7" ht="18.75" x14ac:dyDescent="0.25">
      <c r="B10" s="53" t="s">
        <v>32</v>
      </c>
      <c r="C10" s="23" t="s">
        <v>29</v>
      </c>
      <c r="D10" s="24" t="s">
        <v>25</v>
      </c>
      <c r="E10" s="18" t="s">
        <v>22</v>
      </c>
      <c r="F10" s="31" t="s">
        <v>26</v>
      </c>
      <c r="G10" s="29" t="s">
        <v>30</v>
      </c>
    </row>
    <row r="11" spans="2:7" ht="18.75" x14ac:dyDescent="0.25">
      <c r="B11" s="53" t="s">
        <v>35</v>
      </c>
      <c r="C11" s="27" t="s">
        <v>28</v>
      </c>
      <c r="D11" s="20" t="s">
        <v>24</v>
      </c>
      <c r="E11" s="19" t="s">
        <v>23</v>
      </c>
      <c r="F11" s="58" t="s">
        <v>27</v>
      </c>
      <c r="G11" s="54"/>
    </row>
    <row r="12" spans="2:7" ht="18.75" x14ac:dyDescent="0.25">
      <c r="B12" s="53" t="s">
        <v>33</v>
      </c>
      <c r="C12" s="20" t="s">
        <v>24</v>
      </c>
      <c r="D12" s="19" t="s">
        <v>23</v>
      </c>
      <c r="E12" s="31" t="s">
        <v>26</v>
      </c>
      <c r="F12" s="23" t="s">
        <v>29</v>
      </c>
      <c r="G12" s="55" t="s">
        <v>22</v>
      </c>
    </row>
    <row r="13" spans="2:7" ht="19.5" thickBot="1" x14ac:dyDescent="0.3">
      <c r="B13" s="56" t="s">
        <v>36</v>
      </c>
      <c r="C13" s="26" t="s">
        <v>25</v>
      </c>
      <c r="D13" s="28" t="s">
        <v>22</v>
      </c>
      <c r="E13" s="30" t="s">
        <v>30</v>
      </c>
      <c r="F13" s="25" t="s">
        <v>31</v>
      </c>
      <c r="G13" s="57"/>
    </row>
    <row r="16" spans="2:7" ht="15.75" thickBot="1" x14ac:dyDescent="0.3"/>
    <row r="17" spans="2:19" x14ac:dyDescent="0.25">
      <c r="B17" s="38" t="s">
        <v>42</v>
      </c>
      <c r="C17" s="39"/>
    </row>
    <row r="18" spans="2:19" x14ac:dyDescent="0.25">
      <c r="B18" s="32" t="s">
        <v>43</v>
      </c>
      <c r="C18" s="36">
        <f>COUNTIF($C$9:$G$13,"VT")</f>
        <v>2</v>
      </c>
    </row>
    <row r="19" spans="2:19" x14ac:dyDescent="0.25">
      <c r="B19" s="1" t="s">
        <v>44</v>
      </c>
      <c r="C19" s="33">
        <f>COUNTIF($C$9:$G$13,"M")</f>
        <v>4</v>
      </c>
    </row>
    <row r="20" spans="2:19" ht="15.75" thickBot="1" x14ac:dyDescent="0.3">
      <c r="B20" s="1" t="s">
        <v>45</v>
      </c>
      <c r="C20" s="33">
        <f>COUNTIF($C$9:$G$13,"TV")</f>
        <v>2</v>
      </c>
    </row>
    <row r="21" spans="2:19" ht="15.75" thickBot="1" x14ac:dyDescent="0.3">
      <c r="B21" s="2" t="s">
        <v>46</v>
      </c>
      <c r="C21" s="33">
        <f>COUNTIF($C$9:$G$13,"AJ")</f>
        <v>3</v>
      </c>
      <c r="L21" s="40" t="s">
        <v>1</v>
      </c>
      <c r="M21" s="41"/>
    </row>
    <row r="22" spans="2:19" ht="19.5" thickBot="1" x14ac:dyDescent="0.3">
      <c r="B22" s="34" t="s">
        <v>47</v>
      </c>
      <c r="C22" s="35">
        <f>25-COUNTBLANK($C$9:$G$13)</f>
        <v>23</v>
      </c>
      <c r="L22" s="3" t="s">
        <v>2</v>
      </c>
      <c r="M22" s="6" t="s">
        <v>3</v>
      </c>
      <c r="N22" s="37" t="s">
        <v>22</v>
      </c>
    </row>
    <row r="23" spans="2:19" ht="18.75" x14ac:dyDescent="0.25">
      <c r="L23" s="4" t="s">
        <v>4</v>
      </c>
      <c r="M23" s="7" t="s">
        <v>5</v>
      </c>
      <c r="N23" s="10" t="s">
        <v>23</v>
      </c>
    </row>
    <row r="24" spans="2:19" ht="18.75" x14ac:dyDescent="0.25">
      <c r="L24" s="4" t="s">
        <v>6</v>
      </c>
      <c r="M24" s="7" t="s">
        <v>7</v>
      </c>
      <c r="N24" s="11" t="s">
        <v>24</v>
      </c>
      <c r="S24" s="9"/>
    </row>
    <row r="25" spans="2:19" ht="18.75" x14ac:dyDescent="0.25">
      <c r="L25" s="4" t="s">
        <v>8</v>
      </c>
      <c r="M25" s="7" t="s">
        <v>9</v>
      </c>
      <c r="N25" s="12" t="s">
        <v>27</v>
      </c>
    </row>
    <row r="26" spans="2:19" ht="18.75" x14ac:dyDescent="0.25">
      <c r="L26" s="4" t="s">
        <v>10</v>
      </c>
      <c r="M26" s="7" t="s">
        <v>11</v>
      </c>
      <c r="N26" s="13" t="s">
        <v>28</v>
      </c>
    </row>
    <row r="27" spans="2:19" ht="18.75" x14ac:dyDescent="0.25">
      <c r="L27" s="4" t="s">
        <v>12</v>
      </c>
      <c r="M27" s="7" t="s">
        <v>13</v>
      </c>
      <c r="N27" s="14" t="s">
        <v>29</v>
      </c>
    </row>
    <row r="28" spans="2:19" ht="18.75" x14ac:dyDescent="0.25">
      <c r="L28" s="4" t="s">
        <v>14</v>
      </c>
      <c r="M28" s="7" t="s">
        <v>15</v>
      </c>
      <c r="N28" s="15" t="s">
        <v>25</v>
      </c>
    </row>
    <row r="29" spans="2:19" ht="18.75" x14ac:dyDescent="0.25">
      <c r="L29" s="4" t="s">
        <v>16</v>
      </c>
      <c r="M29" s="7" t="s">
        <v>17</v>
      </c>
      <c r="N29" s="16" t="s">
        <v>26</v>
      </c>
    </row>
    <row r="30" spans="2:19" ht="18.75" x14ac:dyDescent="0.25">
      <c r="L30" s="4" t="s">
        <v>18</v>
      </c>
      <c r="M30" s="7" t="s">
        <v>19</v>
      </c>
      <c r="N30" s="17" t="s">
        <v>30</v>
      </c>
    </row>
    <row r="31" spans="2:19" ht="19.5" thickBot="1" x14ac:dyDescent="0.3">
      <c r="L31" s="5" t="s">
        <v>20</v>
      </c>
      <c r="M31" s="8" t="s">
        <v>21</v>
      </c>
      <c r="N31" s="9" t="s">
        <v>31</v>
      </c>
    </row>
  </sheetData>
  <mergeCells count="5">
    <mergeCell ref="B4:B5"/>
    <mergeCell ref="L21:M21"/>
    <mergeCell ref="C4:G7"/>
    <mergeCell ref="B6:B7"/>
    <mergeCell ref="B17:C1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tika">
                <anchor moveWithCells="1" sizeWithCells="1">
                  <from>
                    <xdr:col>14</xdr:col>
                    <xdr:colOff>57150</xdr:colOff>
                    <xdr:row>21</xdr:row>
                    <xdr:rowOff>28575</xdr:rowOff>
                  </from>
                  <to>
                    <xdr:col>14</xdr:col>
                    <xdr:colOff>552450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j">
                <anchor moveWithCells="1" sizeWithCells="1">
                  <from>
                    <xdr:col>14</xdr:col>
                    <xdr:colOff>66675</xdr:colOff>
                    <xdr:row>22</xdr:row>
                    <xdr:rowOff>38100</xdr:rowOff>
                  </from>
                  <to>
                    <xdr:col>14</xdr:col>
                    <xdr:colOff>533400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j">
                <anchor moveWithCells="1" sizeWithCells="1">
                  <from>
                    <xdr:col>14</xdr:col>
                    <xdr:colOff>66675</xdr:colOff>
                    <xdr:row>23</xdr:row>
                    <xdr:rowOff>47625</xdr:rowOff>
                  </from>
                  <to>
                    <xdr:col>14</xdr:col>
                    <xdr:colOff>542925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polecenske">
                <anchor moveWithCells="1" sizeWithCells="1">
                  <from>
                    <xdr:col>14</xdr:col>
                    <xdr:colOff>76200</xdr:colOff>
                    <xdr:row>24</xdr:row>
                    <xdr:rowOff>66675</xdr:rowOff>
                  </from>
                  <to>
                    <xdr:col>14</xdr:col>
                    <xdr:colOff>542925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V">
                <anchor moveWithCells="1" sizeWithCells="1">
                  <from>
                    <xdr:col>14</xdr:col>
                    <xdr:colOff>66675</xdr:colOff>
                    <xdr:row>25</xdr:row>
                    <xdr:rowOff>47625</xdr:rowOff>
                  </from>
                  <to>
                    <xdr:col>14</xdr:col>
                    <xdr:colOff>533400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VT">
                <anchor moveWithCells="1" sizeWithCells="1">
                  <from>
                    <xdr:col>14</xdr:col>
                    <xdr:colOff>76200</xdr:colOff>
                    <xdr:row>26</xdr:row>
                    <xdr:rowOff>38100</xdr:rowOff>
                  </from>
                  <to>
                    <xdr:col>14</xdr:col>
                    <xdr:colOff>542925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NJ">
                <anchor moveWithCells="1" sizeWithCells="1">
                  <from>
                    <xdr:col>14</xdr:col>
                    <xdr:colOff>66675</xdr:colOff>
                    <xdr:row>27</xdr:row>
                    <xdr:rowOff>38100</xdr:rowOff>
                  </from>
                  <to>
                    <xdr:col>14</xdr:col>
                    <xdr:colOff>523875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Prirod">
                <anchor moveWithCells="1" sizeWithCells="1">
                  <from>
                    <xdr:col>14</xdr:col>
                    <xdr:colOff>57150</xdr:colOff>
                    <xdr:row>28</xdr:row>
                    <xdr:rowOff>38100</xdr:rowOff>
                  </from>
                  <to>
                    <xdr:col>14</xdr:col>
                    <xdr:colOff>523875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fyzika">
                <anchor moveWithCells="1" sizeWithCells="1">
                  <from>
                    <xdr:col>14</xdr:col>
                    <xdr:colOff>66675</xdr:colOff>
                    <xdr:row>29</xdr:row>
                    <xdr:rowOff>47625</xdr:rowOff>
                  </from>
                  <to>
                    <xdr:col>14</xdr:col>
                    <xdr:colOff>523875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Volitelny">
                <anchor moveWithCells="1" sizeWithCells="1">
                  <from>
                    <xdr:col>14</xdr:col>
                    <xdr:colOff>66675</xdr:colOff>
                    <xdr:row>30</xdr:row>
                    <xdr:rowOff>57150</xdr:rowOff>
                  </from>
                  <to>
                    <xdr:col>14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0070D181-AC84-490F-9839-DCF50C8E1ECD}">
            <xm:f>NOT(ISERROR(SEARCH($B$6,B11)))</xm:f>
            <xm:f>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" operator="containsText" id="{8A8A9FD4-10FB-4590-9D45-C748DD284F5A}">
            <xm:f>NOT(ISERROR(SEARCH($B$6,B11)))</xm:f>
            <xm:f>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" operator="containsText" id="{BC42EA03-7F92-4B9F-A0FD-56CAC31E70F1}">
            <xm:f>NOT(ISERROR(SEARCH($B$6,B11)))</xm:f>
            <xm:f>$B$6</xm:f>
            <x14:dxf/>
          </x14:cfRule>
          <xm:sqref>B11</xm:sqref>
        </x14:conditionalFormatting>
        <x14:conditionalFormatting xmlns:xm="http://schemas.microsoft.com/office/excel/2006/main">
          <x14:cfRule type="containsText" priority="2" operator="containsText" id="{9A28D4DC-8C1D-4533-8CAE-985D814A1BC8}">
            <xm:f>NOT(ISERROR(SEARCH($B$6,B9)))</xm:f>
            <xm:f>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containsText" priority="1" operator="containsText" id="{5B5C98D5-A35D-4AC7-AE9C-886B43548DBF}">
            <xm:f>NOT(ISERROR(SEARCH($B$6,B9)))</xm:f>
            <xm:f>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2019-01-14T08:53:04Z</dcterms:created>
  <dcterms:modified xsi:type="dcterms:W3CDTF">2019-01-14T09:57:21Z</dcterms:modified>
</cp:coreProperties>
</file>