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Petri61079\Desktop\"/>
    </mc:Choice>
  </mc:AlternateContent>
  <bookViews>
    <workbookView xWindow="0" yWindow="0" windowWidth="28800" windowHeight="12330"/>
  </bookViews>
  <sheets>
    <sheet name="Lis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2" i="1"/>
  <c r="J1" i="1"/>
  <c r="A2" i="1"/>
  <c r="H13" i="1" l="1"/>
</calcChain>
</file>

<file path=xl/sharedStrings.xml><?xml version="1.0" encoding="utf-8"?>
<sst xmlns="http://schemas.openxmlformats.org/spreadsheetml/2006/main" count="26" uniqueCount="23">
  <si>
    <t>Datum</t>
  </si>
  <si>
    <t>Den v týdnu</t>
  </si>
  <si>
    <t>Pondělí</t>
  </si>
  <si>
    <t>Úterý</t>
  </si>
  <si>
    <t>Středa</t>
  </si>
  <si>
    <t>Čtvrtek</t>
  </si>
  <si>
    <t>Pátek</t>
  </si>
  <si>
    <t>ROZVRH HODIN</t>
  </si>
  <si>
    <t>Vyučovací hodina</t>
  </si>
  <si>
    <t>M</t>
  </si>
  <si>
    <t>ČJ</t>
  </si>
  <si>
    <t>AJ</t>
  </si>
  <si>
    <t>ACV</t>
  </si>
  <si>
    <t>A</t>
  </si>
  <si>
    <t>PRX</t>
  </si>
  <si>
    <t>ELN</t>
  </si>
  <si>
    <t>ELM</t>
  </si>
  <si>
    <t>ELMc</t>
  </si>
  <si>
    <t>EK</t>
  </si>
  <si>
    <t>TVS</t>
  </si>
  <si>
    <t>Seznam předmětů</t>
  </si>
  <si>
    <t>počet</t>
  </si>
  <si>
    <t>Celkem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</si>
</sst>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[$-F800]dddd\,\ mmmm\ dd\,\ yyyy"/>
  </numFmts>
  <fonts count="3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0" tint="-0.249977111117893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22" fontId="1" fillId="4" borderId="4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7" borderId="17" xfId="0" applyFont="1" applyFill="1" applyBorder="1" applyAlignment="1">
      <alignment horizontal="center" vertical="center"/>
    </xf>
    <xf numFmtId="165" fontId="1" fillId="4" borderId="5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0" fillId="0" borderId="26" xfId="0" quotePrefix="1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0" fillId="0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11" borderId="7" xfId="0" applyFont="1" applyFill="1" applyBorder="1" applyAlignment="1">
      <alignment horizontal="center" vertical="center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fmlaLink="$I$1" fmlaRange="$G$2:$G$12" noThreeD="1" sel="11" val="3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326780</xdr:colOff>
          <xdr:row>2</xdr:row>
          <xdr:rowOff>39565</xdr:rowOff>
        </xdr:from>
        <xdr:to>
          <xdr:col>9</xdr:col>
          <xdr:colOff>476250</xdr:colOff>
          <xdr:row>3</xdr:row>
          <xdr:rowOff>7327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134081</xdr:colOff>
          <xdr:row>3</xdr:row>
          <xdr:rowOff>104041</xdr:rowOff>
        </xdr:from>
        <xdr:to>
          <xdr:col>10</xdr:col>
          <xdr:colOff>95249</xdr:colOff>
          <xdr:row>4</xdr:row>
          <xdr:rowOff>131150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Zapsat předmět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M18"/>
  <sheetViews>
    <sheetView tabSelected="1" zoomScale="130" zoomScaleNormal="130" workbookViewId="0">
      <selection activeCell="K12" sqref="K12"/>
    </sheetView>
  </sheetViews>
  <sheetFormatPr defaultRowHeight="15" x14ac:dyDescent="0.25"/>
  <cols>
    <col min="1" max="1" width="23.5703125" style="1" customWidth="1"/>
    <col min="2" max="6" width="9.140625" style="1"/>
    <col min="7" max="7" width="17.5703125" style="1" customWidth="1"/>
    <col min="8" max="16384" width="9.140625" style="1"/>
  </cols>
  <sheetData>
    <row r="1" spans="1:13" ht="20.100000000000001" customHeight="1" thickBot="1" x14ac:dyDescent="0.3">
      <c r="A1" s="4" t="s">
        <v>0</v>
      </c>
      <c r="B1" s="5" t="s">
        <v>7</v>
      </c>
      <c r="C1" s="2"/>
      <c r="D1" s="2"/>
      <c r="E1" s="2"/>
      <c r="F1" s="2"/>
      <c r="G1" s="46" t="s">
        <v>20</v>
      </c>
      <c r="H1" s="47" t="s">
        <v>21</v>
      </c>
      <c r="I1" s="29">
        <v>11</v>
      </c>
      <c r="J1" s="29" t="str">
        <f>INDEX(G2:G12, I1)</f>
        <v>TVS</v>
      </c>
      <c r="K1" s="30"/>
      <c r="L1" s="28"/>
      <c r="M1" s="28"/>
    </row>
    <row r="2" spans="1:13" ht="20.100000000000001" customHeight="1" thickBot="1" x14ac:dyDescent="0.3">
      <c r="A2" s="15">
        <f ca="1">TODAY()</f>
        <v>43850</v>
      </c>
      <c r="B2" s="8" t="s">
        <v>8</v>
      </c>
      <c r="C2" s="3"/>
      <c r="D2" s="3"/>
      <c r="E2" s="3"/>
      <c r="F2" s="3"/>
      <c r="G2" s="42" t="s">
        <v>9</v>
      </c>
      <c r="H2" s="43">
        <f>COUNTIF($B$4:$F$8, G2)</f>
        <v>0</v>
      </c>
      <c r="I2" s="30"/>
      <c r="J2" s="30"/>
      <c r="K2" s="30"/>
      <c r="L2" s="28"/>
      <c r="M2" s="28"/>
    </row>
    <row r="3" spans="1:13" ht="20.100000000000001" customHeight="1" thickBot="1" x14ac:dyDescent="0.3">
      <c r="A3" s="7" t="s">
        <v>1</v>
      </c>
      <c r="B3" s="9">
        <v>1</v>
      </c>
      <c r="C3" s="10">
        <v>2</v>
      </c>
      <c r="D3" s="10">
        <v>3</v>
      </c>
      <c r="E3" s="10">
        <v>4</v>
      </c>
      <c r="F3" s="35">
        <v>5</v>
      </c>
      <c r="G3" s="39" t="s">
        <v>11</v>
      </c>
      <c r="H3" s="40">
        <f t="shared" ref="H3:H13" si="0">COUNTIF($B$4:$F$8, G3)</f>
        <v>0</v>
      </c>
      <c r="I3" s="30"/>
      <c r="J3" s="30"/>
      <c r="K3" s="30"/>
      <c r="L3" s="28"/>
      <c r="M3" s="28"/>
    </row>
    <row r="4" spans="1:13" ht="20.100000000000001" customHeight="1" x14ac:dyDescent="0.25">
      <c r="A4" s="11" t="s">
        <v>2</v>
      </c>
      <c r="B4" s="18"/>
      <c r="C4" s="16" t="s">
        <v>14</v>
      </c>
      <c r="D4" s="19"/>
      <c r="E4" s="17"/>
      <c r="F4" s="36"/>
      <c r="G4" s="41" t="s">
        <v>10</v>
      </c>
      <c r="H4" s="40">
        <f t="shared" si="0"/>
        <v>0</v>
      </c>
      <c r="I4" s="30"/>
      <c r="J4" s="30"/>
      <c r="K4" s="30"/>
      <c r="L4" s="28"/>
      <c r="M4" s="28"/>
    </row>
    <row r="5" spans="1:13" ht="20.100000000000001" customHeight="1" x14ac:dyDescent="0.25">
      <c r="A5" s="12" t="s">
        <v>3</v>
      </c>
      <c r="B5" s="21"/>
      <c r="C5" s="20"/>
      <c r="D5" s="20"/>
      <c r="E5" s="22"/>
      <c r="F5" s="37"/>
      <c r="G5" s="39" t="s">
        <v>12</v>
      </c>
      <c r="H5" s="40">
        <f t="shared" si="0"/>
        <v>0</v>
      </c>
      <c r="I5" s="28"/>
      <c r="J5" s="28"/>
      <c r="K5" s="28"/>
      <c r="L5" s="28"/>
      <c r="M5" s="28"/>
    </row>
    <row r="6" spans="1:13" ht="20.100000000000001" customHeight="1" x14ac:dyDescent="0.25">
      <c r="A6" s="6" t="s">
        <v>4</v>
      </c>
      <c r="B6" s="23"/>
      <c r="C6" s="22"/>
      <c r="D6" s="20"/>
      <c r="E6" s="50" t="s">
        <v>18</v>
      </c>
      <c r="F6" s="37"/>
      <c r="G6" s="39" t="s">
        <v>13</v>
      </c>
      <c r="H6" s="40">
        <f t="shared" si="0"/>
        <v>0</v>
      </c>
      <c r="I6" s="28"/>
      <c r="J6" s="31"/>
      <c r="K6" s="28"/>
      <c r="L6" s="28"/>
      <c r="M6" s="28"/>
    </row>
    <row r="7" spans="1:13" ht="20.100000000000001" customHeight="1" x14ac:dyDescent="0.25">
      <c r="A7" s="13" t="s">
        <v>5</v>
      </c>
      <c r="B7" s="24"/>
      <c r="C7" s="51" t="s">
        <v>19</v>
      </c>
      <c r="D7" s="20"/>
      <c r="E7" s="22"/>
      <c r="F7" s="37"/>
      <c r="G7" s="39" t="s">
        <v>14</v>
      </c>
      <c r="H7" s="40">
        <f t="shared" si="0"/>
        <v>1</v>
      </c>
      <c r="I7" s="28"/>
      <c r="J7" s="28"/>
      <c r="K7" s="28"/>
      <c r="L7" s="28"/>
      <c r="M7" s="28"/>
    </row>
    <row r="8" spans="1:13" ht="20.100000000000001" customHeight="1" thickBot="1" x14ac:dyDescent="0.3">
      <c r="A8" s="14" t="s">
        <v>6</v>
      </c>
      <c r="B8" s="25"/>
      <c r="C8" s="26"/>
      <c r="D8" s="27"/>
      <c r="E8" s="27"/>
      <c r="F8" s="38"/>
      <c r="G8" s="39" t="s">
        <v>15</v>
      </c>
      <c r="H8" s="40">
        <f t="shared" si="0"/>
        <v>0</v>
      </c>
      <c r="I8" s="28"/>
      <c r="J8" s="28"/>
      <c r="K8" s="28"/>
      <c r="L8" s="28"/>
      <c r="M8" s="28"/>
    </row>
    <row r="9" spans="1:13" ht="20.100000000000001" customHeight="1" x14ac:dyDescent="0.25">
      <c r="A9" s="32"/>
      <c r="G9" s="39" t="s">
        <v>16</v>
      </c>
      <c r="H9" s="40">
        <f t="shared" si="0"/>
        <v>0</v>
      </c>
      <c r="I9" s="28"/>
      <c r="J9" s="28"/>
      <c r="K9" s="28"/>
      <c r="L9" s="28"/>
      <c r="M9" s="28"/>
    </row>
    <row r="10" spans="1:13" ht="20.100000000000001" customHeight="1" x14ac:dyDescent="0.25">
      <c r="G10" s="39" t="s">
        <v>17</v>
      </c>
      <c r="H10" s="40">
        <f t="shared" si="0"/>
        <v>0</v>
      </c>
      <c r="I10" s="28"/>
      <c r="J10" s="28"/>
      <c r="K10" s="28"/>
      <c r="L10" s="28"/>
      <c r="M10" s="28"/>
    </row>
    <row r="11" spans="1:13" ht="20.100000000000001" customHeight="1" x14ac:dyDescent="0.25">
      <c r="G11" s="39" t="s">
        <v>18</v>
      </c>
      <c r="H11" s="40">
        <f t="shared" si="0"/>
        <v>1</v>
      </c>
      <c r="I11" s="28"/>
      <c r="J11" s="28"/>
      <c r="K11" s="28"/>
      <c r="L11" s="28"/>
      <c r="M11" s="28"/>
    </row>
    <row r="12" spans="1:13" ht="20.100000000000001" customHeight="1" thickBot="1" x14ac:dyDescent="0.3">
      <c r="D12" s="33"/>
      <c r="G12" s="44" t="s">
        <v>19</v>
      </c>
      <c r="H12" s="45">
        <f t="shared" si="0"/>
        <v>1</v>
      </c>
      <c r="I12" s="28"/>
      <c r="J12" s="28"/>
      <c r="K12" s="28"/>
      <c r="L12" s="28"/>
      <c r="M12" s="28"/>
    </row>
    <row r="13" spans="1:13" ht="20.100000000000001" customHeight="1" thickBot="1" x14ac:dyDescent="0.3">
      <c r="G13" s="48" t="s">
        <v>22</v>
      </c>
      <c r="H13" s="49">
        <f>SUM(H2:H12)</f>
        <v>3</v>
      </c>
      <c r="I13" s="28"/>
      <c r="J13" s="28"/>
      <c r="K13" s="28"/>
      <c r="L13" s="28"/>
      <c r="M13" s="28"/>
    </row>
    <row r="14" spans="1:13" x14ac:dyDescent="0.25">
      <c r="G14" s="28"/>
      <c r="H14" s="28"/>
      <c r="I14" s="28"/>
      <c r="J14" s="28"/>
      <c r="K14" s="28"/>
      <c r="L14" s="28"/>
      <c r="M14" s="28"/>
    </row>
    <row r="15" spans="1:13" x14ac:dyDescent="0.25">
      <c r="D15" s="34"/>
      <c r="G15" s="28"/>
      <c r="H15" s="28"/>
      <c r="I15" s="28"/>
      <c r="J15" s="28"/>
      <c r="K15" s="28"/>
      <c r="L15" s="28"/>
      <c r="M15" s="28"/>
    </row>
    <row r="16" spans="1:13" x14ac:dyDescent="0.25">
      <c r="G16" s="28"/>
      <c r="H16" s="28"/>
      <c r="I16" s="28"/>
      <c r="J16" s="28"/>
      <c r="K16" s="28"/>
      <c r="L16" s="28"/>
      <c r="M16" s="28"/>
    </row>
    <row r="17" spans="4:13" x14ac:dyDescent="0.25">
      <c r="D17" s="33"/>
      <c r="G17" s="28"/>
      <c r="H17" s="28"/>
      <c r="I17" s="28"/>
      <c r="J17" s="28"/>
      <c r="K17" s="28"/>
      <c r="L17" s="28"/>
      <c r="M17" s="28"/>
    </row>
    <row r="18" spans="4:13" x14ac:dyDescent="0.25">
      <c r="G18" s="28"/>
      <c r="H18" s="28"/>
      <c r="I18" s="28"/>
      <c r="J18" s="28"/>
      <c r="K18" s="28"/>
      <c r="L18" s="28"/>
      <c r="M18" s="28"/>
    </row>
  </sheetData>
  <mergeCells count="2">
    <mergeCell ref="B1:F1"/>
    <mergeCell ref="B2:F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8</xdr:col>
                    <xdr:colOff>323850</xdr:colOff>
                    <xdr:row>2</xdr:row>
                    <xdr:rowOff>38100</xdr:rowOff>
                  </from>
                  <to>
                    <xdr:col>9</xdr:col>
                    <xdr:colOff>476250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zaznamentat_predmet" altText="Zapsat předmět">
                <anchor moveWithCells="1" sizeWithCells="1">
                  <from>
                    <xdr:col>8</xdr:col>
                    <xdr:colOff>133350</xdr:colOff>
                    <xdr:row>3</xdr:row>
                    <xdr:rowOff>104775</xdr:rowOff>
                  </from>
                  <to>
                    <xdr:col>10</xdr:col>
                    <xdr:colOff>95250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Petřík Vít</dc:creator>
  <cp:lastModifiedBy>Petřík Vít</cp:lastModifiedBy>
  <dcterms:created xsi:type="dcterms:W3CDTF">2020-01-20T08:52:09Z</dcterms:created>
  <dcterms:modified xsi:type="dcterms:W3CDTF">2020-01-20T10:17:31Z</dcterms:modified>
</cp:coreProperties>
</file>